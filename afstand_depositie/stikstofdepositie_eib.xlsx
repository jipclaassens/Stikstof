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radbouduniversiteit.sharepoint.com/sites/WoningbouwRUVU/Shared Documents/General/data/data_natuur/"/>
    </mc:Choice>
  </mc:AlternateContent>
  <xr:revisionPtr revIDLastSave="161" documentId="8_{ECD593E6-23BD-46B4-8FA9-6794BF1E3BBC}" xr6:coauthVersionLast="47" xr6:coauthVersionMax="47" xr10:uidLastSave="{F701AAD6-ED73-5585-810C-33C3233EC723}"/>
  <bookViews>
    <workbookView xWindow="-103" yWindow="-103" windowWidth="24892" windowHeight="14914" xr2:uid="{C1671FA9-3D5A-4DB5-A8F5-648A833E6A8D}"/>
  </bookViews>
  <sheets>
    <sheet name="rapport 2025" sheetId="2" r:id="rId1"/>
    <sheet name="rapport 2023"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2" l="1"/>
  <c r="L6" i="2"/>
  <c r="L5" i="2"/>
  <c r="N6" i="2"/>
  <c r="N7" i="2"/>
  <c r="N8" i="2"/>
  <c r="N9" i="2"/>
  <c r="N10" i="2"/>
  <c r="N11" i="2"/>
  <c r="N12" i="2"/>
  <c r="N13" i="2"/>
  <c r="N14" i="2"/>
  <c r="N5" i="2"/>
  <c r="M7" i="2"/>
  <c r="M5" i="2"/>
  <c r="M6" i="2"/>
  <c r="M8" i="2"/>
  <c r="M9" i="2"/>
  <c r="M10" i="2"/>
  <c r="M11" i="2"/>
  <c r="M12" i="2"/>
  <c r="M13" i="2"/>
  <c r="M14" i="2"/>
  <c r="O5" i="2"/>
  <c r="O6" i="2"/>
  <c r="O7" i="2"/>
  <c r="O9" i="2"/>
  <c r="O10" i="2"/>
  <c r="O11" i="2"/>
  <c r="G19" i="2"/>
  <c r="K18" i="2"/>
  <c r="K19" i="2"/>
  <c r="J19" i="2"/>
  <c r="I19" i="2"/>
  <c r="H19" i="2"/>
  <c r="E19" i="2"/>
  <c r="D19" i="2"/>
  <c r="C19" i="2"/>
  <c r="B19" i="2"/>
  <c r="L14" i="2"/>
  <c r="K27" i="2" s="1"/>
  <c r="L13" i="2"/>
  <c r="I26" i="2" s="1"/>
  <c r="L12" i="2"/>
  <c r="G25" i="2" s="1"/>
  <c r="L11" i="2"/>
  <c r="E24" i="2" s="1"/>
  <c r="L10" i="2"/>
  <c r="C23" i="2" s="1"/>
  <c r="L9" i="2"/>
  <c r="J22" i="2" s="1"/>
  <c r="L8" i="2"/>
  <c r="K21" i="2" s="1"/>
  <c r="I20" i="2"/>
  <c r="E18" i="2"/>
  <c r="O14" i="2" l="1"/>
  <c r="B18" i="2"/>
  <c r="C18" i="2"/>
  <c r="O13" i="2"/>
  <c r="O8" i="2"/>
  <c r="F18" i="2"/>
  <c r="O12" i="2"/>
  <c r="G18" i="2"/>
  <c r="I24" i="2"/>
  <c r="H18" i="2"/>
  <c r="J25" i="2"/>
  <c r="I18" i="2"/>
  <c r="K25" i="2"/>
  <c r="J18" i="2"/>
  <c r="B26" i="2"/>
  <c r="C26" i="2"/>
  <c r="B27" i="2"/>
  <c r="C27" i="2"/>
  <c r="D27" i="2"/>
  <c r="B20" i="2"/>
  <c r="C20" i="2"/>
  <c r="E20" i="2"/>
  <c r="K20" i="2"/>
  <c r="E27" i="2"/>
  <c r="B21" i="2"/>
  <c r="F27" i="2"/>
  <c r="F23" i="2"/>
  <c r="D20" i="2"/>
  <c r="H24" i="2"/>
  <c r="D22" i="2"/>
  <c r="H23" i="2"/>
  <c r="F21" i="2"/>
  <c r="B25" i="2"/>
  <c r="C25" i="2"/>
  <c r="J20" i="2"/>
  <c r="B22" i="2"/>
  <c r="D23" i="2"/>
  <c r="F24" i="2"/>
  <c r="H25" i="2"/>
  <c r="J26" i="2"/>
  <c r="C22" i="2"/>
  <c r="E23" i="2"/>
  <c r="G24" i="2"/>
  <c r="I25" i="2"/>
  <c r="K26" i="2"/>
  <c r="C21" i="2"/>
  <c r="G23" i="2"/>
  <c r="D21" i="2"/>
  <c r="G22" i="2"/>
  <c r="I23" i="2"/>
  <c r="K24" i="2"/>
  <c r="J23" i="2"/>
  <c r="I22" i="2"/>
  <c r="E26" i="2"/>
  <c r="F20" i="2"/>
  <c r="H21" i="2"/>
  <c r="B24" i="2"/>
  <c r="F26" i="2"/>
  <c r="G20" i="2"/>
  <c r="K22" i="2"/>
  <c r="E25" i="2"/>
  <c r="G26" i="2"/>
  <c r="D18" i="2"/>
  <c r="F19" i="2"/>
  <c r="H20" i="2"/>
  <c r="J21" i="2"/>
  <c r="B23" i="2"/>
  <c r="D24" i="2"/>
  <c r="F25" i="2"/>
  <c r="H26" i="2"/>
  <c r="J27" i="2"/>
  <c r="E22" i="2"/>
  <c r="F22" i="2"/>
  <c r="J24" i="2"/>
  <c r="E21" i="2"/>
  <c r="H22" i="2"/>
  <c r="D26" i="2"/>
  <c r="G21" i="2"/>
  <c r="K23" i="2"/>
  <c r="G27" i="2"/>
  <c r="D25" i="2"/>
  <c r="H27" i="2"/>
  <c r="I21" i="2"/>
  <c r="C24" i="2"/>
  <c r="I27" i="2"/>
</calcChain>
</file>

<file path=xl/sharedStrings.xml><?xml version="1.0" encoding="utf-8"?>
<sst xmlns="http://schemas.openxmlformats.org/spreadsheetml/2006/main" count="17" uniqueCount="15">
  <si>
    <t>bron:  EIB, 2022, Effecten wegvallen bouwvrijstelling</t>
  </si>
  <si>
    <t>tabel 1 Berekende stikstofdepositie1 (mol per hectare) naar projectomvang (aantal woningen) en afstand tot een N2000-gebied</t>
  </si>
  <si>
    <t>In welke categorie een project valt, hangt af van de stikstofdeposities in Natura2000-gebieden (N2000). De belangrijkste determinanten hiervoor zijn de omvang van het project en de afstand tot het N2000 gebied. Daarnaast kunnen specifieke factoren invloed hebben op de machines en voertuigen die tijdens de bouw (moeten) worden ingezet. Het belang van de omvang en de afstand tot een N2000-gebied van een project kan worden afgeleid uit onderstaande tabel2. De tabel laat zien dat op een afstand van 2,5 kilometer vrijwel alle projecten een vergunning kunnen krijgen. Binnen de 2,5 kilometer geldt dit alleen voor kleinere projecten. Grotere projecten op korte afstand van N2000-gebieden kunnen zonder verdere maatregelen geen doorgang vinden</t>
  </si>
  <si>
    <t>afstand</t>
  </si>
  <si>
    <t>n2000_afstandklasse</t>
  </si>
  <si>
    <t>plancap_1</t>
  </si>
  <si>
    <t>plancap_10</t>
  </si>
  <si>
    <t>plancap_50</t>
  </si>
  <si>
    <t>plancap_100</t>
  </si>
  <si>
    <t>plancap_200</t>
  </si>
  <si>
    <r>
      <rPr>
        <b/>
        <sz val="11"/>
        <color theme="1"/>
        <rFont val="Calibri"/>
        <family val="2"/>
        <scheme val="minor"/>
      </rPr>
      <t xml:space="preserve">Tabel A.1 </t>
    </r>
    <r>
      <rPr>
        <sz val="11"/>
        <color theme="1"/>
        <rFont val="Calibri"/>
        <family val="2"/>
        <scheme val="minor"/>
      </rPr>
      <t>Berekende stikstofdepositie1 (mol/ha/jaar) naar projectomvang (aantal woningen) en afstand (meter) tot een stikstofgevoelige N2000-gebied</t>
    </r>
  </si>
  <si>
    <t>mol / woning</t>
  </si>
  <si>
    <t>aantal woningen</t>
  </si>
  <si>
    <t>woningen 0,5</t>
  </si>
  <si>
    <t>woningen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</si>
</sst>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0" x14ac:knownFonts="1">
    <font>
      <sz val="11"/>
      <color theme="1"/>
      <name val="Calibri"/>
      <family val="2"/>
      <scheme val="minor"/>
    </font>
    <font>
      <b/>
      <sz val="11"/>
      <color theme="1"/>
      <name val="Calibri"/>
      <family val="2"/>
      <scheme val="minor"/>
    </font>
    <font>
      <sz val="11"/>
      <color rgb="FF000000"/>
      <name val="Calibri"/>
      <family val="2"/>
      <scheme val="minor"/>
    </font>
    <font>
      <sz val="11"/>
      <color rgb="FFFF0000"/>
      <name val="Calibri"/>
      <family val="2"/>
      <scheme val="minor"/>
    </font>
    <font>
      <sz val="10"/>
      <color theme="1"/>
      <name val="Aptos"/>
      <family val="2"/>
    </font>
    <font>
      <b/>
      <sz val="10"/>
      <color theme="1"/>
      <name val="Aptos"/>
      <family val="2"/>
    </font>
    <font>
      <sz val="10"/>
      <color rgb="FF000000"/>
      <name val="Aptos"/>
      <family val="2"/>
    </font>
    <font>
      <sz val="10"/>
      <color rgb="FFFF0000"/>
      <name val="Aptos"/>
      <family val="2"/>
    </font>
    <font>
      <b/>
      <sz val="10"/>
      <color rgb="FFFF0000"/>
      <name val="Aptos"/>
      <family val="2"/>
    </font>
    <font>
      <sz val="11"/>
      <color theme="1"/>
      <name val="Calibri"/>
      <family val="2"/>
      <scheme val="minor"/>
    </font>
  </fonts>
  <fills count="7">
    <fill>
      <patternFill patternType="none"/>
    </fill>
    <fill>
      <patternFill patternType="gray125"/>
    </fill>
    <fill>
      <patternFill patternType="solid">
        <fgColor rgb="FFE6B8B7"/>
        <bgColor indexed="64"/>
      </patternFill>
    </fill>
    <fill>
      <patternFill patternType="solid">
        <fgColor rgb="FFFFC000"/>
        <bgColor indexed="64"/>
      </patternFill>
    </fill>
    <fill>
      <patternFill patternType="solid">
        <fgColor rgb="FFEBF1DE"/>
        <bgColor indexed="64"/>
      </patternFill>
    </fill>
    <fill>
      <patternFill patternType="solid">
        <fgColor rgb="FFC4D79B"/>
        <bgColor indexed="64"/>
      </patternFill>
    </fill>
    <fill>
      <patternFill patternType="solid">
        <fgColor rgb="FFD4E8D9"/>
        <bgColor indexed="64"/>
      </patternFill>
    </fill>
  </fills>
  <borders count="2">
    <border>
      <left/>
      <right/>
      <top/>
      <bottom/>
      <diagonal/>
    </border>
    <border>
      <left/>
      <right/>
      <top/>
      <bottom style="thick">
        <color rgb="FFE9AB00"/>
      </bottom>
      <diagonal/>
    </border>
  </borders>
  <cellStyleXfs count="2">
    <xf numFmtId="0" fontId="0" fillId="0" borderId="0"/>
    <xf numFmtId="9" fontId="9" fillId="0" borderId="0" applyFont="0" applyFill="0" applyBorder="0" applyAlignment="0" applyProtection="0"/>
  </cellStyleXfs>
  <cellXfs count="39">
    <xf numFmtId="0" fontId="0" fillId="0" borderId="0" xfId="0"/>
    <xf numFmtId="0" fontId="0" fillId="0" borderId="0" xfId="0" applyAlignment="1">
      <alignment horizontal="left"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3" fontId="0" fillId="0" borderId="0" xfId="0" applyNumberFormat="1" applyAlignment="1">
      <alignment horizontal="left"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4" fillId="0" borderId="0" xfId="0" applyFont="1"/>
    <xf numFmtId="0" fontId="5" fillId="0" borderId="1" xfId="0" applyFont="1" applyBorder="1" applyAlignment="1">
      <alignment horizontal="right" vertical="center" wrapText="1"/>
    </xf>
    <xf numFmtId="0" fontId="5" fillId="0" borderId="1" xfId="0" applyFont="1" applyBorder="1" applyAlignment="1">
      <alignment horizontal="left" vertical="center" wrapText="1" indent="2"/>
    </xf>
    <xf numFmtId="0" fontId="5" fillId="0" borderId="1" xfId="0" applyFont="1" applyBorder="1" applyAlignment="1">
      <alignment horizontal="left" vertical="center" wrapText="1" indent="3"/>
    </xf>
    <xf numFmtId="164" fontId="4" fillId="0" borderId="0" xfId="0" applyNumberFormat="1" applyFont="1"/>
    <xf numFmtId="0" fontId="4" fillId="0" borderId="0" xfId="0" applyFont="1" applyAlignment="1">
      <alignment horizontal="left" vertical="center" wrapText="1" indent="1"/>
    </xf>
    <xf numFmtId="0" fontId="6" fillId="0" borderId="0" xfId="0" applyFont="1" applyAlignment="1">
      <alignment horizontal="right" vertical="center" wrapText="1"/>
    </xf>
    <xf numFmtId="0" fontId="6" fillId="2" borderId="0" xfId="0" applyFont="1" applyFill="1" applyAlignment="1">
      <alignment horizontal="right" vertical="center" wrapText="1"/>
    </xf>
    <xf numFmtId="0" fontId="6" fillId="2" borderId="0" xfId="0" applyFont="1" applyFill="1" applyAlignment="1">
      <alignment horizontal="left" vertical="center" wrapText="1" indent="1"/>
    </xf>
    <xf numFmtId="0" fontId="6" fillId="3" borderId="0" xfId="0" applyFont="1" applyFill="1" applyAlignment="1">
      <alignment horizontal="right" vertical="center" wrapText="1"/>
    </xf>
    <xf numFmtId="0" fontId="6" fillId="2" borderId="0" xfId="0" applyFont="1" applyFill="1" applyAlignment="1">
      <alignment horizontal="left" vertical="center" wrapText="1" indent="2"/>
    </xf>
    <xf numFmtId="0" fontId="6" fillId="6" borderId="0" xfId="0" applyFont="1" applyFill="1" applyAlignment="1">
      <alignment horizontal="right" vertical="center" wrapText="1"/>
    </xf>
    <xf numFmtId="0" fontId="6" fillId="3" borderId="0" xfId="0" applyFont="1" applyFill="1" applyAlignment="1">
      <alignment horizontal="left" vertical="center" wrapText="1" indent="2"/>
    </xf>
    <xf numFmtId="0" fontId="6" fillId="2" borderId="0" xfId="0" applyFont="1" applyFill="1" applyAlignment="1">
      <alignment horizontal="left" vertical="center" wrapText="1" indent="3"/>
    </xf>
    <xf numFmtId="3" fontId="4" fillId="0" borderId="0" xfId="0" applyNumberFormat="1" applyFont="1" applyAlignment="1">
      <alignment horizontal="left" vertical="center" wrapText="1" indent="1"/>
    </xf>
    <xf numFmtId="0" fontId="6" fillId="5" borderId="0" xfId="0" applyFont="1" applyFill="1" applyAlignment="1">
      <alignment horizontal="right" vertical="center" wrapText="1"/>
    </xf>
    <xf numFmtId="0" fontId="6" fillId="6" borderId="0" xfId="0" applyFont="1" applyFill="1" applyAlignment="1">
      <alignment horizontal="left" vertical="center" wrapText="1" indent="2"/>
    </xf>
    <xf numFmtId="0" fontId="6" fillId="0" borderId="0" xfId="0" applyFont="1" applyAlignment="1">
      <alignment vertical="center" wrapText="1"/>
    </xf>
    <xf numFmtId="0" fontId="6" fillId="5" borderId="0" xfId="0" applyFont="1" applyFill="1" applyAlignment="1">
      <alignment horizontal="left" vertical="center" wrapText="1" indent="2"/>
    </xf>
    <xf numFmtId="0" fontId="6" fillId="3" borderId="0" xfId="0" applyFont="1" applyFill="1" applyAlignment="1">
      <alignment horizontal="left" vertical="center" wrapText="1" indent="3"/>
    </xf>
    <xf numFmtId="0" fontId="6" fillId="6" borderId="0" xfId="0" applyFont="1" applyFill="1" applyAlignment="1">
      <alignment horizontal="left" vertical="center" wrapText="1" indent="3"/>
    </xf>
    <xf numFmtId="165" fontId="4" fillId="0" borderId="0" xfId="0" applyNumberFormat="1" applyFont="1"/>
    <xf numFmtId="164" fontId="7" fillId="0" borderId="0" xfId="0" applyNumberFormat="1" applyFont="1"/>
    <xf numFmtId="0" fontId="3" fillId="0" borderId="0" xfId="0" applyFont="1"/>
    <xf numFmtId="164" fontId="8" fillId="0" borderId="0" xfId="0" applyNumberFormat="1" applyFont="1" applyAlignment="1">
      <alignment horizontal="center"/>
    </xf>
    <xf numFmtId="0" fontId="5" fillId="0" borderId="0" xfId="0" applyFont="1"/>
    <xf numFmtId="9" fontId="4" fillId="0" borderId="0" xfId="1" applyFont="1"/>
    <xf numFmtId="0" fontId="0" fillId="0" borderId="0" xfId="0" applyAlignment="1">
      <alignment horizontal="lef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C80-AB41-41CA-905F-6703C8A8AAE1}">
  <dimension ref="A1:Q27"/>
  <sheetViews>
    <sheetView tabSelected="1" workbookViewId="0">
      <selection activeCell="L7" sqref="L7"/>
    </sheetView>
  </sheetViews>
  <sheetFormatPr defaultRowHeight="14.6" x14ac:dyDescent="0.4"/>
  <cols>
    <col min="12" max="13" width="11" style="34" customWidth="1"/>
    <col min="14" max="15" width="12" bestFit="1" customWidth="1"/>
    <col min="16" max="16" width="10" bestFit="1" customWidth="1"/>
  </cols>
  <sheetData>
    <row r="1" spans="1:17" ht="15" customHeight="1" x14ac:dyDescent="0.4">
      <c r="A1" t="s">
        <v>10</v>
      </c>
    </row>
    <row r="2" spans="1:17" ht="15" customHeight="1" x14ac:dyDescent="0.4"/>
    <row r="3" spans="1:17" ht="15" customHeight="1" x14ac:dyDescent="0.4">
      <c r="B3" s="7" t="s">
        <v>12</v>
      </c>
    </row>
    <row r="4" spans="1:17" s="11" customFormat="1" ht="15" customHeight="1" thickBot="1" x14ac:dyDescent="0.4">
      <c r="A4" s="36" t="s">
        <v>3</v>
      </c>
      <c r="B4" s="12">
        <v>1</v>
      </c>
      <c r="C4" s="12">
        <v>5</v>
      </c>
      <c r="D4" s="12">
        <v>10</v>
      </c>
      <c r="E4" s="12">
        <v>20</v>
      </c>
      <c r="F4" s="12">
        <v>50</v>
      </c>
      <c r="G4" s="13">
        <v>100</v>
      </c>
      <c r="H4" s="14">
        <v>200</v>
      </c>
      <c r="I4" s="12">
        <v>400</v>
      </c>
      <c r="J4" s="12">
        <v>600</v>
      </c>
      <c r="K4" s="14">
        <v>800</v>
      </c>
      <c r="L4" s="35" t="s">
        <v>11</v>
      </c>
      <c r="M4" s="36" t="s">
        <v>13</v>
      </c>
      <c r="N4" s="36" t="s">
        <v>13</v>
      </c>
      <c r="O4" s="36" t="s">
        <v>14</v>
      </c>
    </row>
    <row r="5" spans="1:17" s="11" customFormat="1" ht="15" customHeight="1" thickTop="1" x14ac:dyDescent="0.35">
      <c r="A5" s="16">
        <v>50</v>
      </c>
      <c r="B5" s="17">
        <v>0.57999999999999996</v>
      </c>
      <c r="C5" s="18">
        <v>2.92</v>
      </c>
      <c r="D5" s="18">
        <v>5.83</v>
      </c>
      <c r="E5" s="19">
        <v>11.66</v>
      </c>
      <c r="F5" s="19">
        <v>29.16</v>
      </c>
      <c r="G5" s="19">
        <v>58.31</v>
      </c>
      <c r="H5" s="19">
        <v>116.62</v>
      </c>
      <c r="I5" s="18">
        <v>233.24</v>
      </c>
      <c r="J5" s="18">
        <v>349.86</v>
      </c>
      <c r="K5" s="19">
        <v>466.48</v>
      </c>
      <c r="L5" s="33">
        <f>K5/K$4</f>
        <v>0.58310000000000006</v>
      </c>
      <c r="M5" s="11">
        <f>0.005/$L5</f>
        <v>8.5748585148345043E-3</v>
      </c>
      <c r="N5" s="11">
        <f>0.1/$L5</f>
        <v>0.17149717029669009</v>
      </c>
      <c r="O5" s="11">
        <f>1/$L5</f>
        <v>1.7149717029669009</v>
      </c>
    </row>
    <row r="6" spans="1:17" s="11" customFormat="1" ht="15" customHeight="1" x14ac:dyDescent="0.35">
      <c r="A6" s="16">
        <v>100</v>
      </c>
      <c r="B6" s="20">
        <v>0.23</v>
      </c>
      <c r="C6" s="18">
        <v>1.1299999999999999</v>
      </c>
      <c r="D6" s="18">
        <v>2.25</v>
      </c>
      <c r="E6" s="21">
        <v>4.5</v>
      </c>
      <c r="F6" s="19">
        <v>11.26</v>
      </c>
      <c r="G6" s="19">
        <v>22.51</v>
      </c>
      <c r="H6" s="21">
        <v>45.02</v>
      </c>
      <c r="I6" s="18">
        <v>90.04</v>
      </c>
      <c r="J6" s="18">
        <v>135.06</v>
      </c>
      <c r="K6" s="19">
        <v>180.08</v>
      </c>
      <c r="L6" s="33">
        <f>K6/K$4</f>
        <v>0.22510000000000002</v>
      </c>
      <c r="M6" s="11">
        <f t="shared" ref="M6:M14" si="0">0.005/$L6</f>
        <v>2.2212350066637049E-2</v>
      </c>
      <c r="N6" s="11">
        <f t="shared" ref="N6:N14" si="1">0.1/$L6</f>
        <v>0.44424700133274098</v>
      </c>
      <c r="O6" s="11">
        <f t="shared" ref="O6:O14" si="2">1/$L6</f>
        <v>4.4424700133274095</v>
      </c>
    </row>
    <row r="7" spans="1:17" s="11" customFormat="1" ht="15" customHeight="1" x14ac:dyDescent="0.35">
      <c r="A7" s="16">
        <v>250</v>
      </c>
      <c r="B7" s="22">
        <v>0.05</v>
      </c>
      <c r="C7" s="20">
        <v>0.24</v>
      </c>
      <c r="D7" s="20">
        <v>0.48</v>
      </c>
      <c r="E7" s="17">
        <v>0.95</v>
      </c>
      <c r="F7" s="21">
        <v>2.38</v>
      </c>
      <c r="G7" s="21">
        <v>4.76</v>
      </c>
      <c r="H7" s="21">
        <v>9.5299999999999994</v>
      </c>
      <c r="I7" s="18">
        <v>19.059999999999999</v>
      </c>
      <c r="J7" s="18">
        <v>28.58</v>
      </c>
      <c r="K7" s="21">
        <v>38.11</v>
      </c>
      <c r="L7" s="33">
        <f>K7/K$4</f>
        <v>4.7637499999999999E-2</v>
      </c>
      <c r="M7" s="11">
        <f>0.005/$L7</f>
        <v>0.10495932826029913</v>
      </c>
      <c r="N7" s="11">
        <f t="shared" si="1"/>
        <v>2.0991865652059829</v>
      </c>
      <c r="O7" s="11">
        <f t="shared" si="2"/>
        <v>20.991865652059825</v>
      </c>
    </row>
    <row r="8" spans="1:17" s="11" customFormat="1" ht="15" customHeight="1" x14ac:dyDescent="0.35">
      <c r="A8" s="16">
        <v>500</v>
      </c>
      <c r="B8" s="22">
        <v>0.01</v>
      </c>
      <c r="C8" s="20">
        <v>0.06</v>
      </c>
      <c r="D8" s="20">
        <v>0.11</v>
      </c>
      <c r="E8" s="23">
        <v>0.23</v>
      </c>
      <c r="F8" s="17">
        <v>0.56999999999999995</v>
      </c>
      <c r="G8" s="21">
        <v>1.1399999999999999</v>
      </c>
      <c r="H8" s="21">
        <v>2.27</v>
      </c>
      <c r="I8" s="18">
        <v>4.54</v>
      </c>
      <c r="J8" s="18">
        <v>6.81</v>
      </c>
      <c r="K8" s="24">
        <v>9.08</v>
      </c>
      <c r="L8" s="33">
        <f t="shared" ref="L8:L14" si="3">K8/K$4</f>
        <v>1.1350000000000001E-2</v>
      </c>
      <c r="M8" s="11">
        <f t="shared" si="0"/>
        <v>0.44052863436123346</v>
      </c>
      <c r="N8" s="11">
        <f t="shared" si="1"/>
        <v>8.8105726872246688</v>
      </c>
      <c r="O8" s="11">
        <f t="shared" si="2"/>
        <v>88.105726872246692</v>
      </c>
    </row>
    <row r="9" spans="1:17" s="11" customFormat="1" ht="15" customHeight="1" x14ac:dyDescent="0.35">
      <c r="A9" s="25">
        <v>1000</v>
      </c>
      <c r="B9" s="26">
        <v>0</v>
      </c>
      <c r="C9" s="22">
        <v>0.02</v>
      </c>
      <c r="D9" s="22">
        <v>0.04</v>
      </c>
      <c r="E9" s="27">
        <v>0.08</v>
      </c>
      <c r="F9" s="23">
        <v>0.19</v>
      </c>
      <c r="G9" s="23">
        <v>0.38</v>
      </c>
      <c r="H9" s="28">
        <v>0.77</v>
      </c>
      <c r="I9" s="18">
        <v>1.53</v>
      </c>
      <c r="J9" s="18">
        <v>2.2999999999999998</v>
      </c>
      <c r="K9" s="24">
        <v>3.06</v>
      </c>
      <c r="L9" s="33">
        <f t="shared" si="3"/>
        <v>3.8250000000000003E-3</v>
      </c>
      <c r="M9" s="11">
        <f t="shared" si="0"/>
        <v>1.3071895424836601</v>
      </c>
      <c r="N9" s="11">
        <f t="shared" si="1"/>
        <v>26.143790849673202</v>
      </c>
      <c r="O9" s="11">
        <f t="shared" si="2"/>
        <v>261.43790849673201</v>
      </c>
      <c r="Q9" s="37"/>
    </row>
    <row r="10" spans="1:17" s="11" customFormat="1" ht="15" customHeight="1" x14ac:dyDescent="0.35">
      <c r="A10" s="25">
        <v>2500</v>
      </c>
      <c r="B10" s="26">
        <v>0</v>
      </c>
      <c r="C10" s="26">
        <v>0</v>
      </c>
      <c r="D10" s="22">
        <v>0.01</v>
      </c>
      <c r="E10" s="27">
        <v>0.01</v>
      </c>
      <c r="F10" s="27">
        <v>0.04</v>
      </c>
      <c r="G10" s="27">
        <v>7.0000000000000007E-2</v>
      </c>
      <c r="H10" s="23">
        <v>0.14000000000000001</v>
      </c>
      <c r="I10" s="20">
        <v>0.28999999999999998</v>
      </c>
      <c r="J10" s="20">
        <v>0.43</v>
      </c>
      <c r="K10" s="28">
        <v>0.56999999999999995</v>
      </c>
      <c r="L10" s="33">
        <f t="shared" si="3"/>
        <v>7.1249999999999992E-4</v>
      </c>
      <c r="M10" s="11">
        <f t="shared" si="0"/>
        <v>7.0175438596491242</v>
      </c>
      <c r="N10" s="11">
        <f t="shared" si="1"/>
        <v>140.35087719298247</v>
      </c>
      <c r="O10" s="11">
        <f t="shared" si="2"/>
        <v>1403.5087719298247</v>
      </c>
    </row>
    <row r="11" spans="1:17" s="11" customFormat="1" ht="15" customHeight="1" x14ac:dyDescent="0.35">
      <c r="A11" s="25">
        <v>5000</v>
      </c>
      <c r="B11" s="26">
        <v>0</v>
      </c>
      <c r="C11" s="26">
        <v>0</v>
      </c>
      <c r="D11" s="26">
        <v>0</v>
      </c>
      <c r="E11" s="29">
        <v>0</v>
      </c>
      <c r="F11" s="27">
        <v>0.01</v>
      </c>
      <c r="G11" s="27">
        <v>0.02</v>
      </c>
      <c r="H11" s="27">
        <v>0.05</v>
      </c>
      <c r="I11" s="22">
        <v>0.1</v>
      </c>
      <c r="J11" s="20">
        <v>0.14000000000000001</v>
      </c>
      <c r="K11" s="30">
        <v>0.19</v>
      </c>
      <c r="L11" s="33">
        <f t="shared" si="3"/>
        <v>2.375E-4</v>
      </c>
      <c r="M11" s="11">
        <f t="shared" si="0"/>
        <v>21.05263157894737</v>
      </c>
      <c r="N11" s="11">
        <f t="shared" si="1"/>
        <v>421.0526315789474</v>
      </c>
      <c r="O11" s="11">
        <f t="shared" si="2"/>
        <v>4210.5263157894733</v>
      </c>
    </row>
    <row r="12" spans="1:17" s="11" customFormat="1" ht="15" customHeight="1" x14ac:dyDescent="0.35">
      <c r="A12" s="25">
        <v>10000</v>
      </c>
      <c r="B12" s="26">
        <v>0</v>
      </c>
      <c r="C12" s="26">
        <v>0</v>
      </c>
      <c r="D12" s="26">
        <v>0</v>
      </c>
      <c r="E12" s="29">
        <v>0</v>
      </c>
      <c r="F12" s="29">
        <v>0</v>
      </c>
      <c r="G12" s="28">
        <v>0.01</v>
      </c>
      <c r="H12" s="27">
        <v>0.02</v>
      </c>
      <c r="I12" s="22">
        <v>0.03</v>
      </c>
      <c r="J12" s="22">
        <v>0.05</v>
      </c>
      <c r="K12" s="31">
        <v>0.06</v>
      </c>
      <c r="L12" s="33">
        <f t="shared" si="3"/>
        <v>7.4999999999999993E-5</v>
      </c>
      <c r="M12" s="11">
        <f t="shared" si="0"/>
        <v>66.666666666666671</v>
      </c>
      <c r="N12" s="11">
        <f t="shared" si="1"/>
        <v>1333.3333333333335</v>
      </c>
      <c r="O12" s="11">
        <f t="shared" si="2"/>
        <v>13333.333333333334</v>
      </c>
    </row>
    <row r="13" spans="1:17" s="11" customFormat="1" ht="15" customHeight="1" x14ac:dyDescent="0.35">
      <c r="A13" s="25">
        <v>25000</v>
      </c>
      <c r="B13" s="26">
        <v>0</v>
      </c>
      <c r="C13" s="26">
        <v>0</v>
      </c>
      <c r="D13" s="26">
        <v>0</v>
      </c>
      <c r="E13" s="29">
        <v>0</v>
      </c>
      <c r="F13" s="29">
        <v>0</v>
      </c>
      <c r="G13" s="29">
        <v>0</v>
      </c>
      <c r="H13" s="29">
        <v>0</v>
      </c>
      <c r="I13" s="22">
        <v>0.01</v>
      </c>
      <c r="J13" s="22">
        <v>0.01</v>
      </c>
      <c r="K13" s="31">
        <v>0.01</v>
      </c>
      <c r="L13" s="33">
        <f t="shared" si="3"/>
        <v>1.2500000000000001E-5</v>
      </c>
      <c r="M13" s="11">
        <f t="shared" si="0"/>
        <v>400</v>
      </c>
      <c r="N13" s="11">
        <f t="shared" si="1"/>
        <v>8000</v>
      </c>
      <c r="O13" s="11">
        <f t="shared" si="2"/>
        <v>80000</v>
      </c>
    </row>
    <row r="14" spans="1:17" s="11" customFormat="1" ht="15" customHeight="1" x14ac:dyDescent="0.35">
      <c r="A14" s="25">
        <v>50000</v>
      </c>
      <c r="B14" s="26">
        <v>0</v>
      </c>
      <c r="C14" s="26">
        <v>0</v>
      </c>
      <c r="D14" s="26">
        <v>0</v>
      </c>
      <c r="E14" s="29">
        <v>0</v>
      </c>
      <c r="F14" s="29">
        <v>0</v>
      </c>
      <c r="G14" s="29">
        <v>0</v>
      </c>
      <c r="H14" s="29">
        <v>0</v>
      </c>
      <c r="I14" s="26">
        <v>0</v>
      </c>
      <c r="J14" s="22">
        <v>0.01</v>
      </c>
      <c r="K14" s="31">
        <v>0.01</v>
      </c>
      <c r="L14" s="33">
        <f t="shared" si="3"/>
        <v>1.2500000000000001E-5</v>
      </c>
      <c r="M14" s="11">
        <f t="shared" si="0"/>
        <v>400</v>
      </c>
      <c r="N14" s="11">
        <f t="shared" si="1"/>
        <v>8000</v>
      </c>
      <c r="O14" s="11">
        <f t="shared" si="2"/>
        <v>80000</v>
      </c>
    </row>
    <row r="15" spans="1:17" s="11" customFormat="1" ht="15" customHeight="1" x14ac:dyDescent="0.35">
      <c r="L15" s="33"/>
      <c r="M15" s="33"/>
    </row>
    <row r="16" spans="1:17" s="11" customFormat="1" ht="15" customHeight="1" x14ac:dyDescent="0.35">
      <c r="L16" s="33"/>
      <c r="M16" s="33"/>
    </row>
    <row r="17" spans="1:13" s="11" customFormat="1" ht="15" customHeight="1" thickBot="1" x14ac:dyDescent="0.4">
      <c r="A17" s="15"/>
      <c r="B17" s="12">
        <v>1</v>
      </c>
      <c r="C17" s="12">
        <v>5</v>
      </c>
      <c r="D17" s="12">
        <v>10</v>
      </c>
      <c r="E17" s="12">
        <v>20</v>
      </c>
      <c r="F17" s="12">
        <v>50</v>
      </c>
      <c r="G17" s="13">
        <v>100</v>
      </c>
      <c r="H17" s="14">
        <v>200</v>
      </c>
      <c r="I17" s="12">
        <v>400</v>
      </c>
      <c r="J17" s="12">
        <v>600</v>
      </c>
      <c r="K17" s="14">
        <v>800</v>
      </c>
      <c r="L17" s="33"/>
      <c r="M17" s="33"/>
    </row>
    <row r="18" spans="1:13" s="11" customFormat="1" ht="15" customHeight="1" thickTop="1" x14ac:dyDescent="0.35">
      <c r="A18" s="16">
        <v>50</v>
      </c>
      <c r="B18" s="32">
        <f t="shared" ref="B18:K18" si="4">$L5*B$17</f>
        <v>0.58310000000000006</v>
      </c>
      <c r="C18" s="32">
        <f t="shared" si="4"/>
        <v>2.9155000000000002</v>
      </c>
      <c r="D18" s="32">
        <f t="shared" si="4"/>
        <v>5.8310000000000004</v>
      </c>
      <c r="E18" s="32">
        <f t="shared" si="4"/>
        <v>11.662000000000001</v>
      </c>
      <c r="F18" s="32">
        <f t="shared" si="4"/>
        <v>29.155000000000005</v>
      </c>
      <c r="G18" s="32">
        <f t="shared" si="4"/>
        <v>58.310000000000009</v>
      </c>
      <c r="H18" s="32">
        <f t="shared" si="4"/>
        <v>116.62000000000002</v>
      </c>
      <c r="I18" s="32">
        <f t="shared" si="4"/>
        <v>233.24000000000004</v>
      </c>
      <c r="J18" s="32">
        <f t="shared" si="4"/>
        <v>349.86</v>
      </c>
      <c r="K18" s="32">
        <f t="shared" si="4"/>
        <v>466.48000000000008</v>
      </c>
      <c r="L18" s="33"/>
      <c r="M18" s="33"/>
    </row>
    <row r="19" spans="1:13" s="11" customFormat="1" ht="15" customHeight="1" x14ac:dyDescent="0.35">
      <c r="A19" s="16">
        <v>100</v>
      </c>
      <c r="B19" s="32">
        <f t="shared" ref="B19:K19" si="5">$L6*B$17</f>
        <v>0.22510000000000002</v>
      </c>
      <c r="C19" s="32">
        <f t="shared" si="5"/>
        <v>1.1255000000000002</v>
      </c>
      <c r="D19" s="32">
        <f t="shared" si="5"/>
        <v>2.2510000000000003</v>
      </c>
      <c r="E19" s="32">
        <f t="shared" si="5"/>
        <v>4.5020000000000007</v>
      </c>
      <c r="F19" s="32">
        <f t="shared" si="5"/>
        <v>11.255000000000001</v>
      </c>
      <c r="G19" s="32">
        <f t="shared" si="5"/>
        <v>22.51</v>
      </c>
      <c r="H19" s="32">
        <f t="shared" si="5"/>
        <v>45.02</v>
      </c>
      <c r="I19" s="32">
        <f t="shared" si="5"/>
        <v>90.04</v>
      </c>
      <c r="J19" s="32">
        <f t="shared" si="5"/>
        <v>135.06</v>
      </c>
      <c r="K19" s="32">
        <f t="shared" si="5"/>
        <v>180.08</v>
      </c>
      <c r="L19" s="33"/>
      <c r="M19" s="33"/>
    </row>
    <row r="20" spans="1:13" s="11" customFormat="1" ht="15" customHeight="1" x14ac:dyDescent="0.35">
      <c r="A20" s="16">
        <v>250</v>
      </c>
      <c r="B20" s="32">
        <f t="shared" ref="B20:K20" si="6">$L7*B$17</f>
        <v>4.7637499999999999E-2</v>
      </c>
      <c r="C20" s="32">
        <f t="shared" si="6"/>
        <v>0.2381875</v>
      </c>
      <c r="D20" s="32">
        <f t="shared" si="6"/>
        <v>0.47637499999999999</v>
      </c>
      <c r="E20" s="32">
        <f t="shared" si="6"/>
        <v>0.95274999999999999</v>
      </c>
      <c r="F20" s="32">
        <f t="shared" si="6"/>
        <v>2.381875</v>
      </c>
      <c r="G20" s="32">
        <f t="shared" si="6"/>
        <v>4.7637499999999999</v>
      </c>
      <c r="H20" s="32">
        <f t="shared" si="6"/>
        <v>9.5274999999999999</v>
      </c>
      <c r="I20" s="32">
        <f t="shared" si="6"/>
        <v>19.055</v>
      </c>
      <c r="J20" s="32">
        <f t="shared" si="6"/>
        <v>28.5825</v>
      </c>
      <c r="K20" s="32">
        <f t="shared" si="6"/>
        <v>38.11</v>
      </c>
      <c r="L20" s="33"/>
      <c r="M20" s="33"/>
    </row>
    <row r="21" spans="1:13" s="11" customFormat="1" ht="15" customHeight="1" x14ac:dyDescent="0.35">
      <c r="A21" s="16">
        <v>500</v>
      </c>
      <c r="B21" s="32">
        <f t="shared" ref="B21:K21" si="7">$L8*B$17</f>
        <v>1.1350000000000001E-2</v>
      </c>
      <c r="C21" s="32">
        <f t="shared" si="7"/>
        <v>5.6750000000000002E-2</v>
      </c>
      <c r="D21" s="32">
        <f t="shared" si="7"/>
        <v>0.1135</v>
      </c>
      <c r="E21" s="32">
        <f t="shared" si="7"/>
        <v>0.22700000000000001</v>
      </c>
      <c r="F21" s="32">
        <f t="shared" si="7"/>
        <v>0.5675</v>
      </c>
      <c r="G21" s="32">
        <f t="shared" si="7"/>
        <v>1.135</v>
      </c>
      <c r="H21" s="32">
        <f t="shared" si="7"/>
        <v>2.27</v>
      </c>
      <c r="I21" s="32">
        <f t="shared" si="7"/>
        <v>4.54</v>
      </c>
      <c r="J21" s="32">
        <f t="shared" si="7"/>
        <v>6.8100000000000005</v>
      </c>
      <c r="K21" s="32">
        <f t="shared" si="7"/>
        <v>9.08</v>
      </c>
      <c r="L21" s="33"/>
      <c r="M21" s="33"/>
    </row>
    <row r="22" spans="1:13" s="11" customFormat="1" ht="15" customHeight="1" x14ac:dyDescent="0.35">
      <c r="A22" s="25">
        <v>1000</v>
      </c>
      <c r="B22" s="32">
        <f t="shared" ref="B22:K22" si="8">$L9*B$17</f>
        <v>3.8250000000000003E-3</v>
      </c>
      <c r="C22" s="32">
        <f t="shared" si="8"/>
        <v>1.9125000000000003E-2</v>
      </c>
      <c r="D22" s="32">
        <f t="shared" si="8"/>
        <v>3.8250000000000006E-2</v>
      </c>
      <c r="E22" s="32">
        <f t="shared" si="8"/>
        <v>7.6500000000000012E-2</v>
      </c>
      <c r="F22" s="32">
        <f t="shared" si="8"/>
        <v>0.19125</v>
      </c>
      <c r="G22" s="32">
        <f t="shared" si="8"/>
        <v>0.38250000000000001</v>
      </c>
      <c r="H22" s="32">
        <f t="shared" si="8"/>
        <v>0.76500000000000001</v>
      </c>
      <c r="I22" s="32">
        <f t="shared" si="8"/>
        <v>1.53</v>
      </c>
      <c r="J22" s="32">
        <f t="shared" si="8"/>
        <v>2.2950000000000004</v>
      </c>
      <c r="K22" s="32">
        <f t="shared" si="8"/>
        <v>3.06</v>
      </c>
      <c r="L22" s="33"/>
      <c r="M22" s="33"/>
    </row>
    <row r="23" spans="1:13" s="11" customFormat="1" ht="15" customHeight="1" x14ac:dyDescent="0.35">
      <c r="A23" s="25">
        <v>2500</v>
      </c>
      <c r="B23" s="32">
        <f t="shared" ref="B23:K23" si="9">$L10*B$17</f>
        <v>7.1249999999999992E-4</v>
      </c>
      <c r="C23" s="32">
        <f t="shared" si="9"/>
        <v>3.5624999999999997E-3</v>
      </c>
      <c r="D23" s="32">
        <f t="shared" si="9"/>
        <v>7.1249999999999994E-3</v>
      </c>
      <c r="E23" s="32">
        <f t="shared" si="9"/>
        <v>1.4249999999999999E-2</v>
      </c>
      <c r="F23" s="32">
        <f t="shared" si="9"/>
        <v>3.5624999999999997E-2</v>
      </c>
      <c r="G23" s="32">
        <f t="shared" si="9"/>
        <v>7.1249999999999994E-2</v>
      </c>
      <c r="H23" s="32">
        <f t="shared" si="9"/>
        <v>0.14249999999999999</v>
      </c>
      <c r="I23" s="32">
        <f t="shared" si="9"/>
        <v>0.28499999999999998</v>
      </c>
      <c r="J23" s="32">
        <f t="shared" si="9"/>
        <v>0.42749999999999994</v>
      </c>
      <c r="K23" s="32">
        <f t="shared" si="9"/>
        <v>0.56999999999999995</v>
      </c>
      <c r="L23" s="33"/>
      <c r="M23" s="33"/>
    </row>
    <row r="24" spans="1:13" s="11" customFormat="1" ht="15" customHeight="1" x14ac:dyDescent="0.35">
      <c r="A24" s="25">
        <v>5000</v>
      </c>
      <c r="B24" s="32">
        <f t="shared" ref="B24:K24" si="10">$L11*B$17</f>
        <v>2.375E-4</v>
      </c>
      <c r="C24" s="32">
        <f t="shared" si="10"/>
        <v>1.1875E-3</v>
      </c>
      <c r="D24" s="32">
        <f t="shared" si="10"/>
        <v>2.3749999999999999E-3</v>
      </c>
      <c r="E24" s="32">
        <f t="shared" si="10"/>
        <v>4.7499999999999999E-3</v>
      </c>
      <c r="F24" s="32">
        <f t="shared" si="10"/>
        <v>1.1875E-2</v>
      </c>
      <c r="G24" s="32">
        <f t="shared" si="10"/>
        <v>2.375E-2</v>
      </c>
      <c r="H24" s="32">
        <f t="shared" si="10"/>
        <v>4.7500000000000001E-2</v>
      </c>
      <c r="I24" s="32">
        <f t="shared" si="10"/>
        <v>9.5000000000000001E-2</v>
      </c>
      <c r="J24" s="32">
        <f t="shared" si="10"/>
        <v>0.14249999999999999</v>
      </c>
      <c r="K24" s="32">
        <f t="shared" si="10"/>
        <v>0.19</v>
      </c>
      <c r="L24" s="33"/>
      <c r="M24" s="33"/>
    </row>
    <row r="25" spans="1:13" s="11" customFormat="1" ht="15" customHeight="1" x14ac:dyDescent="0.35">
      <c r="A25" s="25">
        <v>10000</v>
      </c>
      <c r="B25" s="32">
        <f t="shared" ref="B25:K25" si="11">$L12*B$17</f>
        <v>7.4999999999999993E-5</v>
      </c>
      <c r="C25" s="32">
        <f t="shared" si="11"/>
        <v>3.7499999999999995E-4</v>
      </c>
      <c r="D25" s="32">
        <f t="shared" si="11"/>
        <v>7.4999999999999991E-4</v>
      </c>
      <c r="E25" s="32">
        <f t="shared" si="11"/>
        <v>1.4999999999999998E-3</v>
      </c>
      <c r="F25" s="32">
        <f t="shared" si="11"/>
        <v>3.7499999999999999E-3</v>
      </c>
      <c r="G25" s="32">
        <f t="shared" si="11"/>
        <v>7.4999999999999997E-3</v>
      </c>
      <c r="H25" s="32">
        <f t="shared" si="11"/>
        <v>1.4999999999999999E-2</v>
      </c>
      <c r="I25" s="32">
        <f t="shared" si="11"/>
        <v>0.03</v>
      </c>
      <c r="J25" s="32">
        <f t="shared" si="11"/>
        <v>4.4999999999999998E-2</v>
      </c>
      <c r="K25" s="32">
        <f t="shared" si="11"/>
        <v>0.06</v>
      </c>
      <c r="L25" s="33"/>
      <c r="M25" s="33"/>
    </row>
    <row r="26" spans="1:13" s="11" customFormat="1" ht="15" customHeight="1" x14ac:dyDescent="0.35">
      <c r="A26" s="25">
        <v>25000</v>
      </c>
      <c r="B26" s="32">
        <f t="shared" ref="B26:K26" si="12">$L13*B$17</f>
        <v>1.2500000000000001E-5</v>
      </c>
      <c r="C26" s="32">
        <f t="shared" si="12"/>
        <v>6.2500000000000001E-5</v>
      </c>
      <c r="D26" s="32">
        <f t="shared" si="12"/>
        <v>1.25E-4</v>
      </c>
      <c r="E26" s="32">
        <f t="shared" si="12"/>
        <v>2.5000000000000001E-4</v>
      </c>
      <c r="F26" s="32">
        <f t="shared" si="12"/>
        <v>6.2500000000000001E-4</v>
      </c>
      <c r="G26" s="32">
        <f t="shared" si="12"/>
        <v>1.25E-3</v>
      </c>
      <c r="H26" s="32">
        <f t="shared" si="12"/>
        <v>2.5000000000000001E-3</v>
      </c>
      <c r="I26" s="32">
        <f t="shared" si="12"/>
        <v>5.0000000000000001E-3</v>
      </c>
      <c r="J26" s="32">
        <f t="shared" si="12"/>
        <v>7.5000000000000006E-3</v>
      </c>
      <c r="K26" s="32">
        <f t="shared" si="12"/>
        <v>0.01</v>
      </c>
      <c r="L26" s="33"/>
      <c r="M26" s="33"/>
    </row>
    <row r="27" spans="1:13" s="11" customFormat="1" ht="15" customHeight="1" x14ac:dyDescent="0.35">
      <c r="A27" s="25">
        <v>50000</v>
      </c>
      <c r="B27" s="32">
        <f t="shared" ref="B27:K27" si="13">$L14*B$17</f>
        <v>1.2500000000000001E-5</v>
      </c>
      <c r="C27" s="32">
        <f t="shared" si="13"/>
        <v>6.2500000000000001E-5</v>
      </c>
      <c r="D27" s="32">
        <f t="shared" si="13"/>
        <v>1.25E-4</v>
      </c>
      <c r="E27" s="32">
        <f t="shared" si="13"/>
        <v>2.5000000000000001E-4</v>
      </c>
      <c r="F27" s="32">
        <f t="shared" si="13"/>
        <v>6.2500000000000001E-4</v>
      </c>
      <c r="G27" s="32">
        <f t="shared" si="13"/>
        <v>1.25E-3</v>
      </c>
      <c r="H27" s="32">
        <f t="shared" si="13"/>
        <v>2.5000000000000001E-3</v>
      </c>
      <c r="I27" s="32">
        <f t="shared" si="13"/>
        <v>5.0000000000000001E-3</v>
      </c>
      <c r="J27" s="32">
        <f t="shared" si="13"/>
        <v>7.5000000000000006E-3</v>
      </c>
      <c r="K27" s="32">
        <f t="shared" si="13"/>
        <v>0.01</v>
      </c>
      <c r="L27" s="33"/>
      <c r="M27" s="3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1B31D-DE56-41DC-A8A8-0E85F55AE0F8}">
  <dimension ref="A1:J18"/>
  <sheetViews>
    <sheetView workbookViewId="0">
      <selection activeCell="B8" sqref="B8"/>
    </sheetView>
  </sheetViews>
  <sheetFormatPr defaultRowHeight="14.6" x14ac:dyDescent="0.4"/>
  <cols>
    <col min="2" max="2" width="20.84375" customWidth="1"/>
    <col min="3" max="7" width="11.23046875" style="9" customWidth="1"/>
  </cols>
  <sheetData>
    <row r="1" spans="1:7" x14ac:dyDescent="0.4">
      <c r="C1" s="9">
        <v>1</v>
      </c>
      <c r="D1" s="9">
        <v>2</v>
      </c>
      <c r="E1" s="9">
        <v>3</v>
      </c>
      <c r="F1" s="9">
        <v>4</v>
      </c>
      <c r="G1" s="9">
        <v>5</v>
      </c>
    </row>
    <row r="2" spans="1:7" x14ac:dyDescent="0.4">
      <c r="A2" s="7" t="s">
        <v>3</v>
      </c>
      <c r="B2" s="7" t="s">
        <v>4</v>
      </c>
      <c r="C2" s="8" t="s">
        <v>5</v>
      </c>
      <c r="D2" s="8" t="s">
        <v>6</v>
      </c>
      <c r="E2" s="8" t="s">
        <v>7</v>
      </c>
      <c r="F2" s="8" t="s">
        <v>8</v>
      </c>
      <c r="G2" s="8" t="s">
        <v>9</v>
      </c>
    </row>
    <row r="3" spans="1:7" x14ac:dyDescent="0.4">
      <c r="A3" s="1">
        <v>50</v>
      </c>
      <c r="B3" s="1">
        <v>1</v>
      </c>
      <c r="C3" s="2">
        <v>0.57999999999999996</v>
      </c>
      <c r="D3" s="2">
        <v>5.83</v>
      </c>
      <c r="E3" s="2">
        <v>29.16</v>
      </c>
      <c r="F3" s="2">
        <v>58.31</v>
      </c>
      <c r="G3" s="2">
        <v>116.62</v>
      </c>
    </row>
    <row r="4" spans="1:7" x14ac:dyDescent="0.4">
      <c r="A4" s="1">
        <v>100</v>
      </c>
      <c r="B4" s="1">
        <v>2</v>
      </c>
      <c r="C4" s="3">
        <v>0.23</v>
      </c>
      <c r="D4" s="2">
        <v>2.25</v>
      </c>
      <c r="E4" s="2">
        <v>11.26</v>
      </c>
      <c r="F4" s="2">
        <v>22.51</v>
      </c>
      <c r="G4" s="2">
        <v>45.02</v>
      </c>
    </row>
    <row r="5" spans="1:7" x14ac:dyDescent="0.4">
      <c r="A5" s="1">
        <v>250</v>
      </c>
      <c r="B5" s="1">
        <v>3</v>
      </c>
      <c r="C5" s="5">
        <v>0.05</v>
      </c>
      <c r="D5" s="3">
        <v>0.48</v>
      </c>
      <c r="E5" s="2">
        <v>2.38</v>
      </c>
      <c r="F5" s="2">
        <v>4.76</v>
      </c>
      <c r="G5" s="2">
        <v>9.5299999999999994</v>
      </c>
    </row>
    <row r="6" spans="1:7" x14ac:dyDescent="0.4">
      <c r="A6" s="1">
        <v>500</v>
      </c>
      <c r="B6" s="1">
        <v>4</v>
      </c>
      <c r="C6" s="5">
        <v>0.01</v>
      </c>
      <c r="D6" s="3">
        <v>0.11</v>
      </c>
      <c r="E6" s="2">
        <v>0.56999999999999995</v>
      </c>
      <c r="F6" s="2">
        <v>1.1399999999999999</v>
      </c>
      <c r="G6" s="2">
        <v>2.27</v>
      </c>
    </row>
    <row r="7" spans="1:7" x14ac:dyDescent="0.4">
      <c r="A7" s="4">
        <v>1000</v>
      </c>
      <c r="B7" s="1">
        <v>5</v>
      </c>
      <c r="C7" s="6">
        <v>0</v>
      </c>
      <c r="D7" s="5">
        <v>0.04</v>
      </c>
      <c r="E7" s="3">
        <v>0.19</v>
      </c>
      <c r="F7" s="3">
        <v>0.38</v>
      </c>
      <c r="G7" s="2">
        <v>0.77</v>
      </c>
    </row>
    <row r="8" spans="1:7" x14ac:dyDescent="0.4">
      <c r="A8" s="4">
        <v>2500</v>
      </c>
      <c r="B8" s="1">
        <v>6</v>
      </c>
      <c r="C8" s="6">
        <v>0</v>
      </c>
      <c r="D8" s="5">
        <v>0.01</v>
      </c>
      <c r="E8" s="5">
        <v>0.04</v>
      </c>
      <c r="F8" s="5">
        <v>7.0000000000000007E-2</v>
      </c>
      <c r="G8" s="3">
        <v>0.14000000000000001</v>
      </c>
    </row>
    <row r="9" spans="1:7" x14ac:dyDescent="0.4">
      <c r="A9" s="4">
        <v>5000</v>
      </c>
      <c r="B9" s="1">
        <v>7</v>
      </c>
      <c r="C9" s="6">
        <v>0</v>
      </c>
      <c r="D9" s="6">
        <v>0</v>
      </c>
      <c r="E9" s="5">
        <v>0.01</v>
      </c>
      <c r="F9" s="5">
        <v>0.02</v>
      </c>
      <c r="G9" s="5">
        <v>0.05</v>
      </c>
    </row>
    <row r="10" spans="1:7" x14ac:dyDescent="0.4">
      <c r="A10" s="4">
        <v>10000</v>
      </c>
      <c r="B10" s="1">
        <v>8</v>
      </c>
      <c r="C10" s="6">
        <v>0</v>
      </c>
      <c r="D10" s="6">
        <v>0</v>
      </c>
      <c r="E10" s="6">
        <v>0</v>
      </c>
      <c r="F10" s="5">
        <v>0.01</v>
      </c>
      <c r="G10" s="5">
        <v>0.02</v>
      </c>
    </row>
    <row r="11" spans="1:7" x14ac:dyDescent="0.4">
      <c r="A11" s="4">
        <v>25000</v>
      </c>
      <c r="B11" s="1">
        <v>9</v>
      </c>
      <c r="C11" s="6">
        <v>0</v>
      </c>
      <c r="D11" s="6">
        <v>0</v>
      </c>
      <c r="E11" s="6">
        <v>0</v>
      </c>
      <c r="F11" s="6">
        <v>0</v>
      </c>
      <c r="G11" s="6">
        <v>0</v>
      </c>
    </row>
    <row r="12" spans="1:7" x14ac:dyDescent="0.4">
      <c r="A12" s="4">
        <v>50000</v>
      </c>
      <c r="B12" s="1">
        <v>10</v>
      </c>
      <c r="C12" s="6">
        <v>0</v>
      </c>
      <c r="D12" s="6">
        <v>0</v>
      </c>
      <c r="E12" s="6">
        <v>0</v>
      </c>
      <c r="F12" s="6">
        <v>0</v>
      </c>
      <c r="G12" s="6">
        <v>0</v>
      </c>
    </row>
    <row r="14" spans="1:7" x14ac:dyDescent="0.4">
      <c r="A14" t="s">
        <v>0</v>
      </c>
    </row>
    <row r="16" spans="1:7" x14ac:dyDescent="0.4">
      <c r="A16" t="s">
        <v>1</v>
      </c>
    </row>
    <row r="18" spans="1:10" s="10" customFormat="1" ht="85" customHeight="1" x14ac:dyDescent="0.4">
      <c r="A18" s="38" t="s">
        <v>2</v>
      </c>
      <c r="B18" s="38"/>
      <c r="C18" s="38"/>
      <c r="D18" s="38"/>
      <c r="E18" s="38"/>
      <c r="F18" s="38"/>
      <c r="G18" s="38"/>
      <c r="H18" s="38"/>
      <c r="I18" s="38"/>
      <c r="J18" s="38"/>
    </row>
  </sheetData>
  <mergeCells count="1">
    <mergeCell ref="A18:J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dc8a08d-8165-4011-972f-0fb64bddb3a5">
      <Terms xmlns="http://schemas.microsoft.com/office/infopath/2007/PartnerControls"/>
    </lcf76f155ced4ddcb4097134ff3c332f>
    <TaxCatchAll xmlns="667bdb4f-7e51-4a90-a198-a2b75e82f10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5B868D3FDA6F4E8C2AF57EA5A869C3" ma:contentTypeVersion="9" ma:contentTypeDescription="Een nieuw document maken." ma:contentTypeScope="" ma:versionID="84c492f1863d83c5baee653cefc18097">
  <xsd:schema xmlns:xsd="http://www.w3.org/2001/XMLSchema" xmlns:xs="http://www.w3.org/2001/XMLSchema" xmlns:p="http://schemas.microsoft.com/office/2006/metadata/properties" xmlns:ns2="fdc8a08d-8165-4011-972f-0fb64bddb3a5" xmlns:ns3="667bdb4f-7e51-4a90-a198-a2b75e82f100" targetNamespace="http://schemas.microsoft.com/office/2006/metadata/properties" ma:root="true" ma:fieldsID="f3fdd475540a6923a338fb8d070ffdce" ns2:_="" ns3:_="">
    <xsd:import namespace="fdc8a08d-8165-4011-972f-0fb64bddb3a5"/>
    <xsd:import namespace="667bdb4f-7e51-4a90-a198-a2b75e82f1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c8a08d-8165-4011-972f-0fb64bddb3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9479e1c4-431f-42ea-b6f3-1b0615c9ce1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7bdb4f-7e51-4a90-a198-a2b75e82f1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a49d71e-b314-4b1e-88f4-c6f107a9b51d}" ma:internalName="TaxCatchAll" ma:showField="CatchAllData" ma:web="667bdb4f-7e51-4a90-a198-a2b75e82f1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DA99B3-C956-4467-A3F7-CDA87F5E12D5}">
  <ds:schemaRefs>
    <ds:schemaRef ds:uri="http://schemas.microsoft.com/sharepoint/v3/contenttype/forms"/>
  </ds:schemaRefs>
</ds:datastoreItem>
</file>

<file path=customXml/itemProps2.xml><?xml version="1.0" encoding="utf-8"?>
<ds:datastoreItem xmlns:ds="http://schemas.openxmlformats.org/officeDocument/2006/customXml" ds:itemID="{A572E949-E6F7-4D56-B237-7A1F7B130162}">
  <ds:schemaRefs>
    <ds:schemaRef ds:uri="http://schemas.microsoft.com/office/2006/metadata/properties"/>
    <ds:schemaRef ds:uri="http://schemas.microsoft.com/office/infopath/2007/PartnerControls"/>
    <ds:schemaRef ds:uri="3691c276-4481-4ccd-bc7f-3e2047951a53"/>
    <ds:schemaRef ds:uri="c3e2251e-56d2-4809-a937-594abf8ee355"/>
    <ds:schemaRef ds:uri="fdc8a08d-8165-4011-972f-0fb64bddb3a5"/>
    <ds:schemaRef ds:uri="667bdb4f-7e51-4a90-a198-a2b75e82f100"/>
  </ds:schemaRefs>
</ds:datastoreItem>
</file>

<file path=customXml/itemProps3.xml><?xml version="1.0" encoding="utf-8"?>
<ds:datastoreItem xmlns:ds="http://schemas.openxmlformats.org/officeDocument/2006/customXml" ds:itemID="{9390821F-AD0D-487F-B1DB-3FB37CF863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c8a08d-8165-4011-972f-0fb64bddb3a5"/>
    <ds:schemaRef ds:uri="667bdb4f-7e51-4a90-a198-a2b75e82f1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rapport 2025</vt:lpstr>
      <vt:lpstr>rapport 2023</vt:lpstr>
    </vt:vector>
  </TitlesOfParts>
  <Company>Radboud University Nijmegen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Ploegmakers, H. (Huub)</dc:creator>
  <cp:lastModifiedBy>Wielen, T.J.A. van der (Tijmen)</cp:lastModifiedBy>
  <dcterms:created xsi:type="dcterms:W3CDTF">2024-01-13T09:20:08Z</dcterms:created>
  <dcterms:modified xsi:type="dcterms:W3CDTF">2026-04-15T09:27:46Z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0x010100C75B868D3FDA6F4E8C2AF57EA5A869C3</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